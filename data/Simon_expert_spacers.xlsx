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teresa_augustin_fas_harvard_edu/Documents/PhD/Liu_Lab/2602_evoCAST_model/"/>
    </mc:Choice>
  </mc:AlternateContent>
  <xr:revisionPtr revIDLastSave="17" documentId="8_{1FDD69D9-D6E8-A041-8331-1A27A08FA083}" xr6:coauthVersionLast="47" xr6:coauthVersionMax="47" xr10:uidLastSave="{5C9BBEE0-021F-4A4D-933E-87ED896401AB}"/>
  <bookViews>
    <workbookView xWindow="5680" yWindow="2540" windowWidth="22840" windowHeight="10940" xr2:uid="{C1A0DCFF-EEF2-8049-83DE-45DA26A934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<sst xmlns="http://schemas.openxmlformats.org/spreadsheetml/2006/main" count="63" uniqueCount="49">
  <si>
    <t>ID</t>
  </si>
  <si>
    <t>Name</t>
  </si>
  <si>
    <t>PAM</t>
  </si>
  <si>
    <t>TCGGTGCTGGGTTCCCTAAA</t>
  </si>
  <si>
    <t>CTGGGACTTGGGATGGTGG</t>
  </si>
  <si>
    <t>CA</t>
  </si>
  <si>
    <t>GCTGACCTCAGTCCCAAGTC</t>
  </si>
  <si>
    <t>CAATGTCAGCGGCGTAAAGG</t>
  </si>
  <si>
    <t>Expert</t>
  </si>
  <si>
    <t>COL7A-165</t>
  </si>
  <si>
    <t>CT</t>
  </si>
  <si>
    <t>CCCTCCCCCGCACACCCCCAACCCTCCGCGGG</t>
  </si>
  <si>
    <t>COL7A-104</t>
  </si>
  <si>
    <t>TT</t>
  </si>
  <si>
    <t>CTGGCTCCCTGGATGCGTGCGGGGTCCCCTGC</t>
  </si>
  <si>
    <t>GTCCCCTGCCTTATGCCAA</t>
  </si>
  <si>
    <t>TTATGCAAACCAGGGCCGA</t>
  </si>
  <si>
    <t>COL7A-56</t>
  </si>
  <si>
    <t>CTGGGACTCCCCGAACCCTCCGCGATCGGTGC</t>
  </si>
  <si>
    <t>ATTTCACGCCCTCACCACTC</t>
  </si>
  <si>
    <t>MYO7A-367</t>
  </si>
  <si>
    <t>CCAGGGCAGGGGTCAGGGCTCGGATGTCGGGC</t>
  </si>
  <si>
    <t>GTGTCATGGGCAGAGGATCG</t>
  </si>
  <si>
    <t>TTGCCTTGTCTCCAGCCTTG</t>
  </si>
  <si>
    <t>MYO7A-228</t>
  </si>
  <si>
    <t>CGCCCTCACCACTCTCCCCCATCCCTTGGAGC</t>
  </si>
  <si>
    <t>TAGTCTGGATGCCTGGTGGA</t>
  </si>
  <si>
    <t>MYO7A-383</t>
  </si>
  <si>
    <t>TGGGCAGAGGATCGAATGCCCCGGCGGCTCTG</t>
  </si>
  <si>
    <t>TCATGGGCAGAGGATCGAATG</t>
  </si>
  <si>
    <t>AGGATGTGGCCAATGGGAGA</t>
  </si>
  <si>
    <t>RHO-120</t>
  </si>
  <si>
    <t>AGCGCCCTGCTGGGGCGTCACACAGGGACGGG</t>
  </si>
  <si>
    <t>GCTCAAAGAAGTCAAGCGCC</t>
  </si>
  <si>
    <t>CAGCACAGGGAAGACCCAAT</t>
  </si>
  <si>
    <t>RHO-190</t>
  </si>
  <si>
    <t>GGGCAAGCCAGACCCCTCCTCTCTGGGGGCCC</t>
  </si>
  <si>
    <t>GAAGCCCGCATCTATCTCGG</t>
  </si>
  <si>
    <t>CTTGCGGTTCTCAACACCAG</t>
  </si>
  <si>
    <t>RHO-263</t>
  </si>
  <si>
    <t>GCCCCTGTCCTCAGGTGCCCCTCCAGCCTCCC</t>
  </si>
  <si>
    <t>TCATTGGGTCTTCCCTGTGC</t>
  </si>
  <si>
    <t>CTAGGCTCTTGTTGCTGCCT</t>
  </si>
  <si>
    <t>chosen</t>
  </si>
  <si>
    <t>GC_content</t>
  </si>
  <si>
    <t>SpacerSeq</t>
  </si>
  <si>
    <t>FW_primer_Simon</t>
  </si>
  <si>
    <t>RV_primer_Simon</t>
  </si>
  <si>
    <t>Amplicon_length_Simon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</si>
</sst>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i/>
      <sz val="12"/>
      <color theme="1"/>
      <name val="Courier New"/>
      <family val="1"/>
    </font>
    <font>
      <sz val="14"/>
      <color rgb="FF0A0A0A"/>
      <name val="Courier New"/>
      <family val="1"/>
    </font>
    <font>
      <i/>
      <sz val="12"/>
      <color rgb="FF222222"/>
      <name val="Courier New"/>
      <family val="1"/>
    </font>
    <font>
      <sz val="12"/>
      <color rgb="FF222222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B9E2-51C2-C94A-A6C0-7180A4E59646}">
  <dimension ref="A1:I10"/>
  <sheetViews>
    <sheetView tabSelected="1" workbookViewId="0">
      <selection activeCell="E7" sqref="E7"/>
    </sheetView>
  </sheetViews>
  <sheetFormatPr baseColWidth="10" defaultRowHeight="16" x14ac:dyDescent="0.2"/>
  <cols>
    <col min="1" max="1" width="3.5" bestFit="1" customWidth="1"/>
    <col min="2" max="2" width="8.1640625" bestFit="1" customWidth="1"/>
    <col min="3" max="3" width="12.33203125" bestFit="1" customWidth="1"/>
    <col min="4" max="4" width="4.6640625" bestFit="1" customWidth="1"/>
    <col min="5" max="5" width="39.33203125" bestFit="1" customWidth="1"/>
    <col min="6" max="6" width="12.83203125" bestFit="1" customWidth="1"/>
    <col min="7" max="7" width="26" bestFit="1" customWidth="1"/>
    <col min="8" max="8" width="24.83203125" bestFit="1" customWidth="1"/>
    <col min="9" max="9" width="18.83203125" bestFit="1" customWidth="1"/>
  </cols>
  <sheetData>
    <row r="1" spans="1:9" ht="17" x14ac:dyDescent="0.25">
      <c r="A1" s="1" t="s">
        <v>0</v>
      </c>
      <c r="B1" s="2" t="s">
        <v>43</v>
      </c>
      <c r="C1" s="2" t="s">
        <v>1</v>
      </c>
      <c r="D1" s="2" t="s">
        <v>2</v>
      </c>
      <c r="E1" s="2" t="s">
        <v>45</v>
      </c>
      <c r="F1" s="2" t="s">
        <v>44</v>
      </c>
      <c r="G1" s="2" t="s">
        <v>46</v>
      </c>
      <c r="H1" s="2" t="s">
        <v>47</v>
      </c>
      <c r="I1" s="1" t="s">
        <v>48</v>
      </c>
    </row>
    <row r="2" spans="1:9" ht="19" x14ac:dyDescent="0.25">
      <c r="A2" s="3">
        <v>4</v>
      </c>
      <c r="B2" s="4" t="s">
        <v>8</v>
      </c>
      <c r="C2" s="8" t="s">
        <v>9</v>
      </c>
      <c r="D2" s="4" t="s">
        <v>10</v>
      </c>
      <c r="E2" s="5" t="s">
        <v>11</v>
      </c>
      <c r="F2" s="6">
        <f t="shared" ref="F2:F4" si="0">(LEN(E2)-LEN(SUBSTITUTE(SUBSTITUTE(UPPER(E2),"G",""),"C","")))/LEN(E2)</f>
        <v>0.8125</v>
      </c>
      <c r="G2" s="4" t="s">
        <v>6</v>
      </c>
      <c r="H2" s="5" t="s">
        <v>7</v>
      </c>
      <c r="I2" s="7">
        <v>291</v>
      </c>
    </row>
    <row r="3" spans="1:9" ht="19" x14ac:dyDescent="0.25">
      <c r="A3" s="7">
        <v>5</v>
      </c>
      <c r="B3" s="4" t="s">
        <v>8</v>
      </c>
      <c r="C3" s="9" t="s">
        <v>12</v>
      </c>
      <c r="D3" s="10" t="s">
        <v>13</v>
      </c>
      <c r="E3" s="10" t="s">
        <v>14</v>
      </c>
      <c r="F3" s="6">
        <f t="shared" si="0"/>
        <v>0.75</v>
      </c>
      <c r="G3" s="10" t="s">
        <v>15</v>
      </c>
      <c r="H3" s="5" t="s">
        <v>16</v>
      </c>
      <c r="I3" s="7">
        <v>189</v>
      </c>
    </row>
    <row r="4" spans="1:9" ht="19" x14ac:dyDescent="0.25">
      <c r="A4" s="3">
        <v>6</v>
      </c>
      <c r="B4" s="4" t="s">
        <v>8</v>
      </c>
      <c r="C4" s="9" t="s">
        <v>17</v>
      </c>
      <c r="D4" s="10" t="s">
        <v>13</v>
      </c>
      <c r="E4" s="10" t="s">
        <v>18</v>
      </c>
      <c r="F4" s="6">
        <f t="shared" si="0"/>
        <v>0.71875</v>
      </c>
      <c r="G4" s="5" t="s">
        <v>3</v>
      </c>
      <c r="H4" s="5" t="s">
        <v>4</v>
      </c>
      <c r="I4" s="7">
        <v>297</v>
      </c>
    </row>
    <row r="5" spans="1:9" ht="19" x14ac:dyDescent="0.25">
      <c r="A5" s="3">
        <v>13</v>
      </c>
      <c r="B5" s="4" t="s">
        <v>8</v>
      </c>
      <c r="C5" s="9" t="s">
        <v>20</v>
      </c>
      <c r="D5" s="10" t="s">
        <v>10</v>
      </c>
      <c r="E5" s="10" t="s">
        <v>21</v>
      </c>
      <c r="F5" s="6">
        <f t="shared" ref="F5:F7" si="1">(LEN(E5)-LEN(SUBSTITUTE(SUBSTITUTE(UPPER(E5),"G",""),"C","")))/LEN(E5)</f>
        <v>0.75</v>
      </c>
      <c r="G5" s="10" t="s">
        <v>22</v>
      </c>
      <c r="H5" s="5" t="s">
        <v>23</v>
      </c>
      <c r="I5" s="7">
        <v>197</v>
      </c>
    </row>
    <row r="6" spans="1:9" ht="19" x14ac:dyDescent="0.25">
      <c r="A6" s="7">
        <v>14</v>
      </c>
      <c r="B6" s="4" t="s">
        <v>8</v>
      </c>
      <c r="C6" s="9" t="s">
        <v>24</v>
      </c>
      <c r="D6" s="10" t="s">
        <v>5</v>
      </c>
      <c r="E6" s="10" t="s">
        <v>25</v>
      </c>
      <c r="F6" s="6">
        <f t="shared" si="1"/>
        <v>0.6875</v>
      </c>
      <c r="G6" s="10" t="s">
        <v>19</v>
      </c>
      <c r="H6" s="5" t="s">
        <v>26</v>
      </c>
      <c r="I6" s="7">
        <v>200</v>
      </c>
    </row>
    <row r="7" spans="1:9" ht="19" x14ac:dyDescent="0.25">
      <c r="A7" s="3">
        <v>15</v>
      </c>
      <c r="B7" s="4" t="s">
        <v>8</v>
      </c>
      <c r="C7" s="9" t="s">
        <v>27</v>
      </c>
      <c r="D7" s="10" t="s">
        <v>5</v>
      </c>
      <c r="E7" s="10" t="s">
        <v>28</v>
      </c>
      <c r="F7" s="6">
        <f t="shared" si="1"/>
        <v>0.6875</v>
      </c>
      <c r="G7" s="10" t="s">
        <v>29</v>
      </c>
      <c r="H7" s="10" t="s">
        <v>30</v>
      </c>
      <c r="I7" s="7">
        <v>226</v>
      </c>
    </row>
    <row r="8" spans="1:9" ht="19" x14ac:dyDescent="0.25">
      <c r="A8" s="3">
        <v>22</v>
      </c>
      <c r="B8" s="4" t="s">
        <v>8</v>
      </c>
      <c r="C8" s="8" t="s">
        <v>31</v>
      </c>
      <c r="D8" s="4" t="s">
        <v>5</v>
      </c>
      <c r="E8" s="5" t="s">
        <v>32</v>
      </c>
      <c r="F8" s="6">
        <f t="shared" ref="F8:F10" si="2">(LEN(E8)-LEN(SUBSTITUTE(SUBSTITUTE(UPPER(E8),"G",""),"C","")))/LEN(E8)</f>
        <v>0.75</v>
      </c>
      <c r="G8" s="4" t="s">
        <v>33</v>
      </c>
      <c r="H8" s="4" t="s">
        <v>34</v>
      </c>
      <c r="I8" s="7">
        <v>253</v>
      </c>
    </row>
    <row r="9" spans="1:9" ht="19" x14ac:dyDescent="0.25">
      <c r="A9" s="7">
        <v>23</v>
      </c>
      <c r="B9" s="4" t="s">
        <v>8</v>
      </c>
      <c r="C9" s="8" t="s">
        <v>35</v>
      </c>
      <c r="D9" s="4" t="s">
        <v>10</v>
      </c>
      <c r="E9" s="5" t="s">
        <v>36</v>
      </c>
      <c r="F9" s="6">
        <f t="shared" si="2"/>
        <v>0.75</v>
      </c>
      <c r="G9" s="4" t="s">
        <v>37</v>
      </c>
      <c r="H9" s="4" t="s">
        <v>38</v>
      </c>
      <c r="I9" s="7">
        <v>307</v>
      </c>
    </row>
    <row r="10" spans="1:9" ht="19" x14ac:dyDescent="0.25">
      <c r="A10" s="3">
        <v>24</v>
      </c>
      <c r="B10" s="4" t="s">
        <v>8</v>
      </c>
      <c r="C10" s="8" t="s">
        <v>39</v>
      </c>
      <c r="D10" s="4" t="s">
        <v>5</v>
      </c>
      <c r="E10" s="5" t="s">
        <v>40</v>
      </c>
      <c r="F10" s="6">
        <f t="shared" si="2"/>
        <v>0.75</v>
      </c>
      <c r="G10" s="4" t="s">
        <v>41</v>
      </c>
      <c r="H10" s="4" t="s">
        <v>42</v>
      </c>
      <c r="I10" s="7">
        <v>309</v>
      </c>
    </row>
  </sheetData>
  <conditionalFormatting sqref="F2:F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Augustin, Teresa</dc:creator>
  <cp:lastModifiedBy>Augustin, Teresa</cp:lastModifiedBy>
  <dcterms:created xsi:type="dcterms:W3CDTF">2026-04-01T22:52:22Z</dcterms:created>
  <dcterms:modified xsi:type="dcterms:W3CDTF">2026-04-01T22:55:29Z</dcterms:modified>
</cp:coreProperties>
</file>